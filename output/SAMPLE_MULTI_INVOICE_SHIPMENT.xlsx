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1" activeTab="1" autoFilterDateGrouping="1"/>
  </bookViews>
  <sheets>
    <sheet name="980007121" sheetId="1" state="visible" r:id="rId1"/>
    <sheet name="980011770" sheetId="2" state="visible" r:id="rId2"/>
    <sheet name="Custom Duty 1 " sheetId="3" state="visible" r:id="rId3"/>
    <sheet name="Serial List" sheetId="4" state="visible" r:id="rId4"/>
    <sheet name="Check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\-mmm\-yy"/>
    <numFmt numFmtId="165" formatCode="m/d/yyyy"/>
    <numFmt numFmtId="166" formatCode="yyyy-mm-dd"/>
  </numFmts>
  <fonts count="20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sz val="10"/>
    </font>
    <font>
      <name val="Calibri"/>
      <charset val="1"/>
      <family val="2"/>
      <sz val="10"/>
    </font>
    <font>
      <name val="Calibri L"/>
      <charset val="1"/>
      <color theme="1"/>
      <sz val="11"/>
    </font>
    <font>
      <name val="Calibri L"/>
      <charset val="1"/>
      <b val="1"/>
      <sz val="11"/>
    </font>
    <font>
      <name val="Calibri L"/>
      <charset val="1"/>
      <sz val="11"/>
    </font>
    <font>
      <name val="Calibri"/>
      <family val="2"/>
      <i val="1"/>
      <sz val="11"/>
    </font>
    <font>
      <name val="Calibri L"/>
      <charset val="1"/>
      <b val="1"/>
      <color theme="1"/>
      <sz val="11"/>
    </font>
    <font>
      <name val="Calibri"/>
      <family val="2"/>
      <color rgb="FF0000FF"/>
      <sz val="11"/>
    </font>
    <font>
      <name val="Calibri"/>
      <sz val="10"/>
    </font>
    <font>
      <name val="Calibri"/>
      <b val="1"/>
      <sz val="10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  <border>
      <top style="medium"/>
      <bottom style="medium"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2" borderId="1" pivotButton="0" quotePrefix="0" xfId="0"/>
    <xf numFmtId="2" fontId="1" fillId="0" borderId="1" pivotButton="0" quotePrefix="0" xfId="0"/>
    <xf numFmtId="0" fontId="1" fillId="0" borderId="1" pivotButton="0" quotePrefix="0" xfId="0"/>
    <xf numFmtId="0" fontId="4" fillId="0" borderId="0" pivotButton="0" quotePrefix="0" xfId="0"/>
    <xf numFmtId="2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1" pivotButton="0" quotePrefix="0" xfId="0"/>
    <xf numFmtId="0" fontId="4" fillId="2" borderId="1" pivotButton="0" quotePrefix="0" xfId="0"/>
    <xf numFmtId="164" fontId="4" fillId="2" borderId="1" pivotButton="0" quotePrefix="0" xfId="0"/>
    <xf numFmtId="2" fontId="4" fillId="2" borderId="1" pivotButton="0" quotePrefix="0" xfId="0"/>
    <xf numFmtId="0" fontId="4" fillId="0" borderId="1" pivotButton="0" quotePrefix="0" xfId="0"/>
    <xf numFmtId="2" fontId="4" fillId="0" borderId="1" pivotButton="0" quotePrefix="0" xfId="0"/>
    <xf numFmtId="164" fontId="7" fillId="0" borderId="1" pivotButton="0" quotePrefix="0" xfId="0"/>
    <xf numFmtId="0" fontId="7" fillId="0" borderId="0" applyAlignment="1" pivotButton="0" quotePrefix="0" xfId="0">
      <alignment horizontal="left" vertical="center"/>
    </xf>
    <xf numFmtId="2" fontId="5" fillId="0" borderId="2" pivotButton="0" quotePrefix="0" xfId="0"/>
    <xf numFmtId="0" fontId="8" fillId="0" borderId="0" pivotButton="0" quotePrefix="0" xfId="0"/>
    <xf numFmtId="2" fontId="8" fillId="0" borderId="0" pivotButton="0" quotePrefix="0" xfId="0"/>
    <xf numFmtId="165" fontId="9" fillId="0" borderId="3" applyAlignment="1" pivotButton="0" quotePrefix="0" xfId="0">
      <alignment horizontal="center" wrapText="1"/>
    </xf>
    <xf numFmtId="49" fontId="9" fillId="0" borderId="4" applyAlignment="1" pivotButton="0" quotePrefix="0" xfId="0">
      <alignment horizontal="center" wrapText="1"/>
    </xf>
    <xf numFmtId="0" fontId="9" fillId="0" borderId="4" applyAlignment="1" pivotButton="0" quotePrefix="0" xfId="0">
      <alignment horizontal="center" wrapText="1"/>
    </xf>
    <xf numFmtId="2" fontId="9" fillId="0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9" fillId="0" borderId="5" applyAlignment="1" pivotButton="0" quotePrefix="0" xfId="0">
      <alignment horizontal="center" wrapText="1"/>
    </xf>
    <xf numFmtId="164" fontId="8" fillId="0" borderId="6" pivotButton="0" quotePrefix="0" xfId="0"/>
    <xf numFmtId="49" fontId="10" fillId="0" borderId="1" pivotButton="0" quotePrefix="0" xfId="0"/>
    <xf numFmtId="0" fontId="8" fillId="0" borderId="1" pivotButton="0" quotePrefix="0" xfId="0"/>
    <xf numFmtId="2" fontId="8" fillId="0" borderId="1" applyAlignment="1" pivotButton="0" quotePrefix="0" xfId="0">
      <alignment horizontal="center"/>
    </xf>
    <xf numFmtId="0" fontId="8" fillId="0" borderId="7" applyAlignment="1" pivotButton="0" quotePrefix="0" xfId="0">
      <alignment wrapText="1"/>
    </xf>
    <xf numFmtId="0" fontId="11" fillId="0" borderId="0" pivotButton="0" quotePrefix="0" xfId="0"/>
    <xf numFmtId="2" fontId="12" fillId="0" borderId="1" pivotButton="0" quotePrefix="0" xfId="0"/>
    <xf numFmtId="2" fontId="13" fillId="0" borderId="1" pivotButton="0" quotePrefix="0" xfId="0"/>
    <xf numFmtId="2" fontId="5" fillId="0" borderId="8" pivotButton="0" quotePrefix="0" xfId="0"/>
    <xf numFmtId="0" fontId="4" fillId="0" borderId="1" pivotButton="0" quotePrefix="1" xfId="0"/>
    <xf numFmtId="0" fontId="4" fillId="2" borderId="1" pivotButton="0" quotePrefix="1" xfId="0"/>
    <xf numFmtId="164" fontId="14" fillId="0" borderId="9" pivotButton="0" quotePrefix="0" xfId="0"/>
    <xf numFmtId="0" fontId="14" fillId="0" borderId="9" pivotButton="0" quotePrefix="0" xfId="0"/>
    <xf numFmtId="2" fontId="14" fillId="0" borderId="9" pivotButton="0" quotePrefix="0" xfId="0"/>
    <xf numFmtId="2" fontId="15" fillId="0" borderId="10" pivotButton="0" quotePrefix="0" xfId="0"/>
    <xf numFmtId="2" fontId="0" fillId="0" borderId="0" pivotButton="0" quotePrefix="0" xfId="0"/>
    <xf numFmtId="165" fontId="9" fillId="0" borderId="3" applyAlignment="1" pivotButton="0" quotePrefix="0" xfId="0">
      <alignment horizontal="center" wrapText="1"/>
    </xf>
    <xf numFmtId="164" fontId="16" fillId="0" borderId="9" pivotButton="0" quotePrefix="0" xfId="0"/>
    <xf numFmtId="0" fontId="16" fillId="0" borderId="9" pivotButton="0" quotePrefix="0" xfId="0"/>
    <xf numFmtId="2" fontId="16" fillId="0" borderId="9" pivotButton="0" quotePrefix="0" xfId="0"/>
    <xf numFmtId="0" fontId="16" fillId="0" borderId="0" pivotButton="0" quotePrefix="0" xfId="0"/>
    <xf numFmtId="2" fontId="17" fillId="0" borderId="0" pivotButton="0" quotePrefix="0" xfId="0"/>
    <xf numFmtId="0" fontId="17" fillId="3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ColWidth="8.6640625" defaultRowHeight="14.4"/>
  <cols>
    <col width="9.6640625" customWidth="1" min="1" max="1"/>
    <col width="16.6640625" customWidth="1" min="2" max="3"/>
    <col width="22.88671875" customWidth="1" min="4" max="4"/>
    <col width="11" customWidth="1" min="5" max="5"/>
    <col width="9.33203125" customWidth="1" min="6" max="6"/>
    <col width="13.44140625" customWidth="1" min="7" max="7"/>
    <col width="67.88671875" customWidth="1" min="8" max="8"/>
    <col width="5" customWidth="1" min="9" max="9"/>
    <col width="9.44140625" customWidth="1" min="10" max="10"/>
    <col width="13.33203125" customWidth="1" min="11" max="11"/>
    <col width="11.44140625" customWidth="1" min="12" max="12"/>
    <col width="12.44140625" customWidth="1" min="13" max="13"/>
    <col width="57.109375" customWidth="1" min="14" max="14"/>
    <col width="26" customWidth="1" min="15" max="15"/>
    <col width="9.6640625" customWidth="1" min="16" max="16"/>
  </cols>
  <sheetData>
    <row r="1" ht="32.25" customFormat="1" customHeight="1" s="7">
      <c r="A1" s="1" t="inlineStr">
        <is>
          <t xml:space="preserve">Date </t>
        </is>
      </c>
      <c r="B1" s="1" t="inlineStr">
        <is>
          <t>Voucher Type</t>
        </is>
      </c>
      <c r="C1" s="1" t="inlineStr">
        <is>
          <t xml:space="preserve">purchase ledger </t>
        </is>
      </c>
      <c r="D1" s="1" t="inlineStr">
        <is>
          <t>Party A/c Name</t>
        </is>
      </c>
      <c r="E1" s="2" t="inlineStr">
        <is>
          <t>Supplier Invoice No.</t>
        </is>
      </c>
      <c r="F1" s="3" t="inlineStr">
        <is>
          <t>Date</t>
        </is>
      </c>
      <c r="G1" s="1" t="inlineStr">
        <is>
          <t xml:space="preserve">godown </t>
        </is>
      </c>
      <c r="H1" s="4" t="inlineStr">
        <is>
          <t xml:space="preserve">item name </t>
        </is>
      </c>
      <c r="I1" s="5" t="inlineStr">
        <is>
          <t>qty</t>
        </is>
      </c>
      <c r="J1" s="4" t="inlineStr">
        <is>
          <t>mfg. date</t>
        </is>
      </c>
      <c r="K1" s="4" t="inlineStr">
        <is>
          <t>batch</t>
        </is>
      </c>
      <c r="L1" s="4" t="inlineStr">
        <is>
          <t>Unit Price</t>
        </is>
      </c>
      <c r="M1" s="4" t="inlineStr">
        <is>
          <t xml:space="preserve">invoice total </t>
        </is>
      </c>
      <c r="N1" s="1" t="inlineStr">
        <is>
          <t>narrations</t>
        </is>
      </c>
      <c r="O1" s="6" t="inlineStr">
        <is>
          <t>PO NO</t>
        </is>
      </c>
      <c r="P1" s="6" t="inlineStr">
        <is>
          <t>PO Date</t>
        </is>
      </c>
    </row>
    <row r="2">
      <c r="A2" s="53" t="n">
        <v>46188</v>
      </c>
      <c r="B2" s="54" t="inlineStr">
        <is>
          <t>EXCISE PURCHASE</t>
        </is>
      </c>
      <c r="C2" s="54" t="inlineStr">
        <is>
          <t>Purchase-Imports</t>
        </is>
      </c>
      <c r="D2" s="54" t="inlineStr">
        <is>
          <t>YASKAWA Europe GmbH</t>
        </is>
      </c>
      <c r="E2" s="54" t="n">
        <v>980007121</v>
      </c>
      <c r="F2" s="53" t="n">
        <v>46188</v>
      </c>
      <c r="G2" s="54" t="inlineStr">
        <is>
          <t>Main Location</t>
        </is>
      </c>
      <c r="H2" s="54" t="inlineStr">
        <is>
          <t>H71-71A41-0</t>
        </is>
      </c>
      <c r="I2" s="54" t="n">
        <v>1</v>
      </c>
      <c r="J2" s="53" t="n">
        <v>46188</v>
      </c>
      <c r="K2" s="54" t="inlineStr">
        <is>
          <t>114460</t>
        </is>
      </c>
      <c r="L2" s="55" t="n">
        <v>34295.73</v>
      </c>
      <c r="M2" s="55" t="n">
        <v>34295.73</v>
      </c>
      <c r="N2" s="54" t="inlineStr">
        <is>
          <t>Being Euro 1,441.59/- @110.5/- BoE No: 4342140 dated :2026-10-11</t>
        </is>
      </c>
      <c r="O2" s="54" t="inlineStr">
        <is>
          <t>PO/V/712</t>
        </is>
      </c>
      <c r="P2" s="53" t="n">
        <v>46183</v>
      </c>
    </row>
    <row r="3">
      <c r="A3" s="53" t="n">
        <v>46188</v>
      </c>
      <c r="B3" s="54" t="inlineStr">
        <is>
          <t>EXCISE PURCHASE</t>
        </is>
      </c>
      <c r="C3" s="54" t="inlineStr">
        <is>
          <t>Purchase-Imports</t>
        </is>
      </c>
      <c r="D3" s="54" t="inlineStr">
        <is>
          <t>YASKAWA Europe GmbH</t>
        </is>
      </c>
      <c r="E3" s="54" t="n">
        <v>980007121</v>
      </c>
      <c r="F3" s="53" t="n">
        <v>46188</v>
      </c>
      <c r="G3" s="54" t="inlineStr">
        <is>
          <t>Main Location</t>
        </is>
      </c>
      <c r="H3" s="54" t="inlineStr">
        <is>
          <t>972-0DP10</t>
        </is>
      </c>
      <c r="I3" s="54" t="n">
        <v>5</v>
      </c>
      <c r="J3" s="53" t="n">
        <v>46188</v>
      </c>
      <c r="K3" s="54" t="inlineStr">
        <is>
          <t xml:space="preserve">Primary batch </t>
        </is>
      </c>
      <c r="L3" s="55" t="n">
        <v>125000</v>
      </c>
      <c r="M3" s="55" t="n">
        <v>125000</v>
      </c>
      <c r="N3" s="54" t="inlineStr">
        <is>
          <t>Being Euro 1,441.59/- @110.5/- BoE No: 4342140 dated :2026-10-11</t>
        </is>
      </c>
      <c r="O3" s="54" t="inlineStr">
        <is>
          <t>PO/V/712</t>
        </is>
      </c>
      <c r="P3" s="53" t="n">
        <v>46183</v>
      </c>
    </row>
    <row r="5">
      <c r="I5">
        <f>SUM(I2:I3)</f>
        <v/>
      </c>
      <c r="L5" s="56">
        <f>SUM(L2:L3)</f>
        <v/>
      </c>
      <c r="M5" s="56">
        <f>SUM(M2:M3)</f>
        <v/>
      </c>
    </row>
    <row r="7">
      <c r="L7" s="57" t="n">
        <v>159295.7</v>
      </c>
    </row>
    <row r="8">
      <c r="L8" s="57">
        <f>+L5-L7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ColWidth="8.6640625" defaultRowHeight="14.4"/>
  <cols>
    <col width="9.6640625" customWidth="1" min="1" max="1"/>
    <col width="16.6640625" customWidth="1" min="2" max="3"/>
    <col width="22.88671875" customWidth="1" min="4" max="4"/>
    <col width="11" customWidth="1" min="5" max="5"/>
    <col width="9.33203125" customWidth="1" min="6" max="6"/>
    <col width="13.44140625" customWidth="1" min="7" max="7"/>
    <col width="67.88671875" customWidth="1" min="8" max="8"/>
    <col width="5" customWidth="1" min="9" max="9"/>
    <col width="9.44140625" customWidth="1" min="10" max="10"/>
    <col width="13.33203125" customWidth="1" min="11" max="11"/>
    <col width="11.44140625" customWidth="1" min="12" max="12"/>
    <col width="12.44140625" customWidth="1" min="13" max="13"/>
    <col width="57.109375" customWidth="1" min="14" max="14"/>
    <col width="26" customWidth="1" min="15" max="15"/>
    <col width="9.6640625" customWidth="1" min="16" max="16"/>
  </cols>
  <sheetData>
    <row r="1" ht="32.25" customFormat="1" customHeight="1" s="7">
      <c r="A1" s="1" t="inlineStr">
        <is>
          <t xml:space="preserve">Date </t>
        </is>
      </c>
      <c r="B1" s="1" t="inlineStr">
        <is>
          <t>Voucher Type</t>
        </is>
      </c>
      <c r="C1" s="1" t="inlineStr">
        <is>
          <t xml:space="preserve">purchase ledger </t>
        </is>
      </c>
      <c r="D1" s="1" t="inlineStr">
        <is>
          <t>Party A/c Name</t>
        </is>
      </c>
      <c r="E1" s="2" t="inlineStr">
        <is>
          <t>Supplier Invoice No.</t>
        </is>
      </c>
      <c r="F1" s="3" t="inlineStr">
        <is>
          <t>Date</t>
        </is>
      </c>
      <c r="G1" s="1" t="inlineStr">
        <is>
          <t xml:space="preserve">godown </t>
        </is>
      </c>
      <c r="H1" s="4" t="inlineStr">
        <is>
          <t xml:space="preserve">item name </t>
        </is>
      </c>
      <c r="I1" s="5" t="inlineStr">
        <is>
          <t>qty</t>
        </is>
      </c>
      <c r="J1" s="4" t="inlineStr">
        <is>
          <t>mfg. date</t>
        </is>
      </c>
      <c r="K1" s="4" t="inlineStr">
        <is>
          <t>batch</t>
        </is>
      </c>
      <c r="L1" s="4" t="inlineStr">
        <is>
          <t>Unit Price</t>
        </is>
      </c>
      <c r="M1" s="4" t="inlineStr">
        <is>
          <t xml:space="preserve">invoice total </t>
        </is>
      </c>
      <c r="N1" s="1" t="inlineStr">
        <is>
          <t>narrations</t>
        </is>
      </c>
      <c r="O1" s="6" t="inlineStr">
        <is>
          <t>PO NO</t>
        </is>
      </c>
      <c r="P1" s="6" t="inlineStr">
        <is>
          <t>PO Date</t>
        </is>
      </c>
    </row>
    <row r="2">
      <c r="A2" s="53" t="n">
        <v>46218</v>
      </c>
      <c r="B2" s="54" t="inlineStr">
        <is>
          <t>EXCISE PURCHASE</t>
        </is>
      </c>
      <c r="C2" s="54" t="inlineStr">
        <is>
          <t>Purchase-Imports</t>
        </is>
      </c>
      <c r="D2" s="54" t="inlineStr">
        <is>
          <t>YASKAWA Europe GmbH</t>
        </is>
      </c>
      <c r="E2" s="54" t="n">
        <v>980011770</v>
      </c>
      <c r="F2" s="53" t="n">
        <v>46211</v>
      </c>
      <c r="G2" s="54" t="inlineStr">
        <is>
          <t>Main Location</t>
        </is>
      </c>
      <c r="H2" s="54" t="inlineStr">
        <is>
          <t>001-1BA20</t>
        </is>
      </c>
      <c r="I2" s="54" t="n">
        <v>10</v>
      </c>
      <c r="J2" s="53" t="n">
        <v>46211</v>
      </c>
      <c r="K2" s="54" t="inlineStr">
        <is>
          <t xml:space="preserve">Primary batch </t>
        </is>
      </c>
      <c r="L2" s="55" t="n">
        <v>550000</v>
      </c>
      <c r="M2" s="55" t="n">
        <v>550000</v>
      </c>
      <c r="N2" s="54" t="inlineStr">
        <is>
          <t>Being Euro 5,748.42/- @110.5/- BoE No: 4342140 dated :2026-10-11</t>
        </is>
      </c>
      <c r="O2" s="54" t="inlineStr">
        <is>
          <t>PO/V/801</t>
        </is>
      </c>
      <c r="P2" s="53" t="n">
        <v>46204</v>
      </c>
    </row>
    <row r="3">
      <c r="A3" s="53" t="n">
        <v>46218</v>
      </c>
      <c r="B3" s="54" t="inlineStr">
        <is>
          <t>EXCISE PURCHASE</t>
        </is>
      </c>
      <c r="C3" s="54" t="inlineStr">
        <is>
          <t>Purchase-Imports</t>
        </is>
      </c>
      <c r="D3" s="54" t="inlineStr">
        <is>
          <t>YASKAWA Europe GmbH</t>
        </is>
      </c>
      <c r="E3" s="54" t="n">
        <v>980011770</v>
      </c>
      <c r="F3" s="53" t="n">
        <v>46211</v>
      </c>
      <c r="G3" s="54" t="inlineStr">
        <is>
          <t>Main Location</t>
        </is>
      </c>
      <c r="H3" s="54" t="inlineStr">
        <is>
          <t>021-1BD40</t>
        </is>
      </c>
      <c r="I3" s="54" t="n">
        <v>1</v>
      </c>
      <c r="J3" s="53" t="n">
        <v>46211</v>
      </c>
      <c r="K3" s="54" t="inlineStr">
        <is>
          <t>225890</t>
        </is>
      </c>
      <c r="L3" s="55" t="n">
        <v>85200</v>
      </c>
      <c r="M3" s="55" t="n">
        <v>85200</v>
      </c>
      <c r="N3" s="54" t="inlineStr">
        <is>
          <t>Being Euro 5,748.42/- @110.5/- BoE No: 4342140 dated :2026-10-11</t>
        </is>
      </c>
      <c r="O3" s="54" t="inlineStr">
        <is>
          <t>PO/V/801</t>
        </is>
      </c>
      <c r="P3" s="53" t="n">
        <v>46204</v>
      </c>
    </row>
    <row r="5">
      <c r="I5">
        <f>SUM(I2:I3)</f>
        <v/>
      </c>
      <c r="L5" s="56">
        <f>SUM(L2:L3)</f>
        <v/>
      </c>
      <c r="M5" s="56">
        <f>SUM(M2:M3)</f>
        <v/>
      </c>
    </row>
    <row r="7">
      <c r="L7" s="57" t="n">
        <v>635200.41</v>
      </c>
    </row>
    <row r="8">
      <c r="L8" s="57">
        <f>+L5-L7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zoomScaleNormal="100" workbookViewId="0">
      <selection activeCell="E11" sqref="E11"/>
    </sheetView>
  </sheetViews>
  <sheetFormatPr baseColWidth="8" defaultColWidth="12.5546875" defaultRowHeight="13.8"/>
  <cols>
    <col width="11" customWidth="1" style="34" min="1" max="1"/>
    <col width="17.109375" customWidth="1" style="34" min="2" max="2"/>
    <col width="11.33203125" customWidth="1" style="34" min="3" max="3"/>
    <col width="30" customWidth="1" style="34" min="4" max="4"/>
    <col width="22.88671875" customWidth="1" style="34" min="5" max="5"/>
    <col width="14.44140625" customWidth="1" style="34" min="6" max="6"/>
    <col width="75.6640625" customWidth="1" style="34" min="7" max="7"/>
    <col width="14.33203125" customWidth="1" style="34" min="8" max="8"/>
    <col width="15.109375" customWidth="1" style="34" min="9" max="9"/>
    <col width="13.109375" customWidth="1" style="35" min="10" max="10"/>
    <col width="13.109375" customWidth="1" style="34" min="11" max="11"/>
    <col width="82.6640625" customWidth="1" style="34" min="12" max="12"/>
    <col width="12.5546875" customWidth="1" style="34" min="13" max="16384"/>
  </cols>
  <sheetData>
    <row r="1" ht="18" customHeight="1">
      <c r="A1" s="58" t="inlineStr">
        <is>
          <t>Date</t>
        </is>
      </c>
      <c r="B1" s="37" t="inlineStr">
        <is>
          <t>Voucher No</t>
        </is>
      </c>
      <c r="C1" s="37" t="inlineStr">
        <is>
          <t>Vtype</t>
        </is>
      </c>
      <c r="D1" s="38" t="inlineStr">
        <is>
          <t>dr</t>
        </is>
      </c>
      <c r="E1" s="38" t="inlineStr">
        <is>
          <t>cr</t>
        </is>
      </c>
      <c r="F1" s="38" t="inlineStr">
        <is>
          <t xml:space="preserve">Godown </t>
        </is>
      </c>
      <c r="G1" s="38" t="inlineStr">
        <is>
          <t>Item</t>
        </is>
      </c>
      <c r="H1" s="38" t="inlineStr">
        <is>
          <t xml:space="preserve">batch no </t>
        </is>
      </c>
      <c r="I1" s="38" t="inlineStr">
        <is>
          <t>mfg. date</t>
        </is>
      </c>
      <c r="J1" s="39" t="inlineStr">
        <is>
          <t>Rate</t>
        </is>
      </c>
      <c r="K1" s="40" t="inlineStr">
        <is>
          <t>Amount</t>
        </is>
      </c>
      <c r="L1" s="41" t="inlineStr">
        <is>
          <t>narrations</t>
        </is>
      </c>
    </row>
    <row r="2" ht="18" customHeight="1">
      <c r="A2" s="59" t="n">
        <v>46188</v>
      </c>
      <c r="B2" s="60" t="inlineStr">
        <is>
          <t>702</t>
        </is>
      </c>
      <c r="C2" s="60" t="inlineStr">
        <is>
          <t>Journal</t>
        </is>
      </c>
      <c r="D2" s="60" t="inlineStr">
        <is>
          <t>Basic Customs Duty @ 7.5%</t>
        </is>
      </c>
      <c r="E2" s="60" t="inlineStr">
        <is>
          <t>Customs Duty Payable</t>
        </is>
      </c>
      <c r="F2" s="60" t="inlineStr">
        <is>
          <t>Main Location</t>
        </is>
      </c>
      <c r="G2" s="60" t="inlineStr">
        <is>
          <t>H71-71A41-0</t>
        </is>
      </c>
      <c r="H2" s="60" t="inlineStr">
        <is>
          <t>114460</t>
        </is>
      </c>
      <c r="I2" s="59" t="n">
        <v>46188</v>
      </c>
      <c r="J2" s="61" t="n">
        <v>2572.18</v>
      </c>
      <c r="K2" s="61" t="n">
        <v>2572.18</v>
      </c>
      <c r="L2" s="60" t="inlineStr">
        <is>
          <t>Being duty payment allocated to Yaskawa Europe GmbH consignment agains the BoE No: 4342140 Dt.2026-10-11 Invoice No. 980007121 DT.15.06.2026</t>
        </is>
      </c>
    </row>
    <row r="3" ht="18" customHeight="1">
      <c r="A3" s="59" t="n">
        <v>46188</v>
      </c>
      <c r="B3" s="60" t="inlineStr">
        <is>
          <t>702</t>
        </is>
      </c>
      <c r="C3" s="60" t="inlineStr">
        <is>
          <t>Journal</t>
        </is>
      </c>
      <c r="D3" s="60" t="inlineStr">
        <is>
          <t>Basic Customs Duty @ 10%</t>
        </is>
      </c>
      <c r="E3" s="60" t="inlineStr">
        <is>
          <t>Customs Duty Payable</t>
        </is>
      </c>
      <c r="F3" s="60" t="inlineStr">
        <is>
          <t>Main Location</t>
        </is>
      </c>
      <c r="G3" s="60" t="inlineStr">
        <is>
          <t>972-0DP10</t>
        </is>
      </c>
      <c r="H3" s="60" t="inlineStr">
        <is>
          <t xml:space="preserve">Primary batch </t>
        </is>
      </c>
      <c r="I3" s="59" t="n">
        <v>46188</v>
      </c>
      <c r="J3" s="61" t="n">
        <v>12500</v>
      </c>
      <c r="K3" s="61" t="n">
        <v>12500</v>
      </c>
      <c r="L3" s="60" t="inlineStr">
        <is>
          <t>Being duty payment allocated to Yaskawa Europe GmbH consignment agains the BoE No: 4342140 Dt.2026-10-11 Invoice No. 980007121 DT.15.06.2026</t>
        </is>
      </c>
    </row>
    <row r="4" ht="18" customHeight="1">
      <c r="A4" s="59" t="n">
        <v>46218</v>
      </c>
      <c r="B4" s="60" t="inlineStr">
        <is>
          <t>702</t>
        </is>
      </c>
      <c r="C4" s="60" t="inlineStr">
        <is>
          <t>Journal</t>
        </is>
      </c>
      <c r="D4" s="60" t="inlineStr">
        <is>
          <t>Basic Customs Duty @ 10%</t>
        </is>
      </c>
      <c r="E4" s="60" t="inlineStr">
        <is>
          <t>Customs Duty Payable</t>
        </is>
      </c>
      <c r="F4" s="60" t="inlineStr">
        <is>
          <t>Main Location</t>
        </is>
      </c>
      <c r="G4" s="60" t="inlineStr">
        <is>
          <t>001-1BA20</t>
        </is>
      </c>
      <c r="H4" s="60" t="inlineStr">
        <is>
          <t xml:space="preserve">Primary batch </t>
        </is>
      </c>
      <c r="I4" s="59" t="n">
        <v>46211</v>
      </c>
      <c r="J4" s="61" t="n">
        <v>55000</v>
      </c>
      <c r="K4" s="61" t="n">
        <v>55000</v>
      </c>
      <c r="L4" s="60" t="inlineStr">
        <is>
          <t>Being duty payment allocated to Yaskawa Europe GmbH consignment agains the BoE No: 4342140 Dt.2026-10-11 Invoice No. 980011770 DT.08.07.2026</t>
        </is>
      </c>
    </row>
    <row r="5" ht="18" customHeight="1">
      <c r="A5" s="59" t="n">
        <v>46218</v>
      </c>
      <c r="B5" s="60" t="inlineStr">
        <is>
          <t>702</t>
        </is>
      </c>
      <c r="C5" s="60" t="inlineStr">
        <is>
          <t>Journal</t>
        </is>
      </c>
      <c r="D5" s="60" t="inlineStr">
        <is>
          <t>Basic Customs Duty @ 7.5%</t>
        </is>
      </c>
      <c r="E5" s="60" t="inlineStr">
        <is>
          <t>Customs Duty Payable</t>
        </is>
      </c>
      <c r="F5" s="60" t="inlineStr">
        <is>
          <t>Main Location</t>
        </is>
      </c>
      <c r="G5" s="60" t="inlineStr">
        <is>
          <t>021-1BD40</t>
        </is>
      </c>
      <c r="H5" s="60" t="inlineStr">
        <is>
          <t>225890</t>
        </is>
      </c>
      <c r="I5" s="59" t="n">
        <v>46211</v>
      </c>
      <c r="J5" s="61" t="n">
        <v>6390</v>
      </c>
      <c r="K5" s="61" t="n">
        <v>6390</v>
      </c>
      <c r="L5" s="60" t="inlineStr">
        <is>
          <t>Being duty payment allocated to Yaskawa Europe GmbH consignment agains the BoE No: 4342140 Dt.2026-10-11 Invoice No. 980011770 DT.08.07.2026</t>
        </is>
      </c>
    </row>
    <row r="6" ht="18" customHeight="1">
      <c r="A6" s="59" t="n">
        <v>46188</v>
      </c>
      <c r="B6" s="60" t="inlineStr">
        <is>
          <t>702</t>
        </is>
      </c>
      <c r="C6" s="60" t="inlineStr">
        <is>
          <t>Journal</t>
        </is>
      </c>
      <c r="D6" s="60" t="inlineStr">
        <is>
          <t>Cess Social Welfare Surcharge</t>
        </is>
      </c>
      <c r="E6" s="60" t="inlineStr">
        <is>
          <t>Customs Duty Payable</t>
        </is>
      </c>
      <c r="F6" s="60" t="inlineStr">
        <is>
          <t>Main Location</t>
        </is>
      </c>
      <c r="G6" s="60" t="inlineStr">
        <is>
          <t>H71-71A41-0</t>
        </is>
      </c>
      <c r="H6" s="60" t="inlineStr">
        <is>
          <t>114460</t>
        </is>
      </c>
      <c r="I6" s="59" t="n">
        <v>46188</v>
      </c>
      <c r="J6" s="61" t="n">
        <v>257.22</v>
      </c>
      <c r="K6" s="61" t="n">
        <v>257.22</v>
      </c>
      <c r="L6" s="60" t="inlineStr">
        <is>
          <t>Being duty payment allocated to Yaskawa Europe GmbH consignment agains the BoE No: 4342140 Dt.2026-10-11 Invoice No. 980007121 DT.15.06.2026</t>
        </is>
      </c>
    </row>
    <row r="7" ht="18" customHeight="1">
      <c r="A7" s="59" t="n">
        <v>46188</v>
      </c>
      <c r="B7" s="60" t="inlineStr">
        <is>
          <t>702</t>
        </is>
      </c>
      <c r="C7" s="60" t="inlineStr">
        <is>
          <t>Journal</t>
        </is>
      </c>
      <c r="D7" s="60" t="inlineStr">
        <is>
          <t>Cess Social Welfare Surcharge</t>
        </is>
      </c>
      <c r="E7" s="60" t="inlineStr">
        <is>
          <t>Customs Duty Payable</t>
        </is>
      </c>
      <c r="F7" s="60" t="inlineStr">
        <is>
          <t>Main Location</t>
        </is>
      </c>
      <c r="G7" s="60" t="inlineStr">
        <is>
          <t>972-0DP10</t>
        </is>
      </c>
      <c r="H7" s="60" t="inlineStr">
        <is>
          <t xml:space="preserve">Primary batch </t>
        </is>
      </c>
      <c r="I7" s="59" t="n">
        <v>46188</v>
      </c>
      <c r="J7" s="61" t="n">
        <v>1250</v>
      </c>
      <c r="K7" s="61" t="n">
        <v>1250</v>
      </c>
      <c r="L7" s="60" t="inlineStr">
        <is>
          <t>Being duty payment allocated to Yaskawa Europe GmbH consignment agains the BoE No: 4342140 Dt.2026-10-11 Invoice No. 980007121 DT.15.06.2026</t>
        </is>
      </c>
    </row>
    <row r="8" ht="18" customHeight="1">
      <c r="A8" s="59" t="n">
        <v>46218</v>
      </c>
      <c r="B8" s="60" t="inlineStr">
        <is>
          <t>702</t>
        </is>
      </c>
      <c r="C8" s="60" t="inlineStr">
        <is>
          <t>Journal</t>
        </is>
      </c>
      <c r="D8" s="60" t="inlineStr">
        <is>
          <t>Cess Social Welfare Surcharge</t>
        </is>
      </c>
      <c r="E8" s="60" t="inlineStr">
        <is>
          <t>Customs Duty Payable</t>
        </is>
      </c>
      <c r="F8" s="60" t="inlineStr">
        <is>
          <t>Main Location</t>
        </is>
      </c>
      <c r="G8" s="60" t="inlineStr">
        <is>
          <t>001-1BA20</t>
        </is>
      </c>
      <c r="H8" s="60" t="inlineStr">
        <is>
          <t xml:space="preserve">Primary batch </t>
        </is>
      </c>
      <c r="I8" s="59" t="n">
        <v>46211</v>
      </c>
      <c r="J8" s="61" t="n">
        <v>5500</v>
      </c>
      <c r="K8" s="61" t="n">
        <v>5500</v>
      </c>
      <c r="L8" s="60" t="inlineStr">
        <is>
          <t>Being duty payment allocated to Yaskawa Europe GmbH consignment agains the BoE No: 4342140 Dt.2026-10-11 Invoice No. 980011770 DT.08.07.2026</t>
        </is>
      </c>
    </row>
    <row r="9" ht="18" customHeight="1">
      <c r="A9" s="59" t="n">
        <v>46218</v>
      </c>
      <c r="B9" s="60" t="inlineStr">
        <is>
          <t>702</t>
        </is>
      </c>
      <c r="C9" s="60" t="inlineStr">
        <is>
          <t>Journal</t>
        </is>
      </c>
      <c r="D9" s="60" t="inlineStr">
        <is>
          <t>Cess Social Welfare Surcharge</t>
        </is>
      </c>
      <c r="E9" s="60" t="inlineStr">
        <is>
          <t>Customs Duty Payable</t>
        </is>
      </c>
      <c r="F9" s="60" t="inlineStr">
        <is>
          <t>Main Location</t>
        </is>
      </c>
      <c r="G9" s="60" t="inlineStr">
        <is>
          <t>021-1BD40</t>
        </is>
      </c>
      <c r="H9" s="60" t="inlineStr">
        <is>
          <t>225890</t>
        </is>
      </c>
      <c r="I9" s="59" t="n">
        <v>46211</v>
      </c>
      <c r="J9" s="61" t="n">
        <v>639</v>
      </c>
      <c r="K9" s="61" t="n">
        <v>639</v>
      </c>
      <c r="L9" s="60" t="inlineStr">
        <is>
          <t>Being duty payment allocated to Yaskawa Europe GmbH consignment agains the BoE No: 4342140 Dt.2026-10-11 Invoice No. 980011770 DT.08.07.2026</t>
        </is>
      </c>
    </row>
    <row r="10" ht="18" customHeight="1"/>
    <row r="11" ht="18" customHeight="1"/>
    <row r="12" ht="18" customHeight="1">
      <c r="G12" s="62" t="inlineStr">
        <is>
          <t>Total allocated</t>
        </is>
      </c>
      <c r="J12" s="63">
        <f>SUM(J2:J9)</f>
        <v/>
      </c>
      <c r="K12" s="63">
        <f>SUM(K2:K9)</f>
        <v/>
      </c>
    </row>
    <row r="13" ht="18" customHeight="1"/>
    <row r="14" ht="18" customHeight="1">
      <c r="G14" s="62" t="inlineStr">
        <is>
          <t>BCD + SWS as per BoE 4342140 (Part I, C.1 + C.3)</t>
        </is>
      </c>
      <c r="J14" s="57">
        <f>76462.18+7646.22</f>
        <v/>
      </c>
    </row>
    <row r="15" ht="18" customHeight="1"/>
    <row r="16" ht="18" customHeight="1">
      <c r="G16" s="62" t="inlineStr">
        <is>
          <t>Difference</t>
        </is>
      </c>
      <c r="J16" s="63">
        <f>ROUND(J12-J14,2)</f>
        <v/>
      </c>
    </row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20" ht="14.4" customHeight="1"/>
    <row r="2021" ht="18" customHeight="1"/>
    <row r="2022" ht="14.4" customHeight="1"/>
    <row r="2023" ht="18" customHeight="1"/>
    <row r="2024" ht="14.4" customHeight="1"/>
    <row r="2025" ht="18" customHeight="1"/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64" t="inlineStr">
        <is>
          <t>Part No</t>
        </is>
      </c>
      <c r="B1" s="64" t="inlineStr">
        <is>
          <t>Batch</t>
        </is>
      </c>
      <c r="C1" s="64" t="inlineStr">
        <is>
          <t>Serial No</t>
        </is>
      </c>
      <c r="D1" s="64" t="inlineStr">
        <is>
          <t>Delivery Note Item</t>
        </is>
      </c>
      <c r="E1" s="64" t="inlineStr">
        <is>
          <t>PO No</t>
        </is>
      </c>
    </row>
    <row r="2">
      <c r="A2" t="inlineStr">
        <is>
          <t>H71-71A41-0</t>
        </is>
      </c>
      <c r="B2" t="inlineStr">
        <is>
          <t>114460</t>
        </is>
      </c>
      <c r="C2" t="inlineStr">
        <is>
          <t>114460</t>
        </is>
      </c>
      <c r="D2" t="n">
        <v>10</v>
      </c>
      <c r="E2" t="inlineStr">
        <is>
          <t>PO/V/712</t>
        </is>
      </c>
    </row>
    <row r="3">
      <c r="A3" t="inlineStr">
        <is>
          <t>972-0DP10</t>
        </is>
      </c>
      <c r="B3" t="inlineStr">
        <is>
          <t xml:space="preserve">Primary batch </t>
        </is>
      </c>
      <c r="C3" t="inlineStr"/>
      <c r="D3" t="n">
        <v>20</v>
      </c>
      <c r="E3" t="inlineStr">
        <is>
          <t>PO/V/712</t>
        </is>
      </c>
    </row>
    <row r="4">
      <c r="A4" t="inlineStr">
        <is>
          <t>001-1BA20</t>
        </is>
      </c>
      <c r="B4" t="inlineStr">
        <is>
          <t xml:space="preserve">Primary batch </t>
        </is>
      </c>
      <c r="C4" t="inlineStr"/>
      <c r="D4" t="n">
        <v>30</v>
      </c>
      <c r="E4" t="inlineStr">
        <is>
          <t>PO/V/801</t>
        </is>
      </c>
    </row>
    <row r="5">
      <c r="A5" t="inlineStr">
        <is>
          <t>021-1BD40</t>
        </is>
      </c>
      <c r="B5" t="inlineStr">
        <is>
          <t>225890</t>
        </is>
      </c>
      <c r="C5" t="inlineStr">
        <is>
          <t>225890</t>
        </is>
      </c>
      <c r="D5" t="n">
        <v>40</v>
      </c>
      <c r="E5" t="inlineStr">
        <is>
          <t>PO/V/801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19" customWidth="1" min="3" max="3"/>
    <col width="36" customWidth="1" min="4" max="4"/>
    <col width="27" customWidth="1" min="5" max="5"/>
    <col width="45" customWidth="1" min="6" max="6"/>
    <col width="12" customWidth="1" min="7" max="7"/>
  </cols>
  <sheetData>
    <row r="1">
      <c r="A1" s="65" t="inlineStr">
        <is>
          <t>AUTOMATED RECONCILIATION &amp; AUDIT REPORT</t>
        </is>
      </c>
    </row>
    <row r="2"/>
    <row r="3">
      <c r="A3" s="66" t="inlineStr">
        <is>
          <t>1. RECONCILIATION AUDIT</t>
        </is>
      </c>
    </row>
    <row r="4"/>
    <row r="5">
      <c r="A5" s="64" t="inlineStr">
        <is>
          <t>Check Name</t>
        </is>
      </c>
      <c r="B5" s="64" t="inlineStr">
        <is>
          <t>Expected</t>
        </is>
      </c>
      <c r="C5" s="64" t="inlineStr">
        <is>
          <t>Actual</t>
        </is>
      </c>
      <c r="D5" s="64" t="inlineStr">
        <is>
          <t>Difference</t>
        </is>
      </c>
      <c r="E5" s="64" t="inlineStr">
        <is>
          <t>Status</t>
        </is>
      </c>
      <c r="F5" s="64" t="inlineStr">
        <is>
          <t>Remarks</t>
        </is>
      </c>
    </row>
    <row r="6">
      <c r="A6" t="inlineStr">
        <is>
          <t>Invoice EUR Total vs BoE</t>
        </is>
      </c>
      <c r="B6" t="inlineStr">
        <is>
          <t>EUR 7,190.01</t>
        </is>
      </c>
      <c r="C6" t="inlineStr">
        <is>
          <t>EUR 7,190.01</t>
        </is>
      </c>
      <c r="D6" t="inlineStr">
        <is>
          <t>EUR 0.00</t>
        </is>
      </c>
      <c r="E6" s="67" t="inlineStr">
        <is>
          <t>PASS</t>
        </is>
      </c>
      <c r="F6" t="inlineStr">
        <is>
          <t>Matches verified supplier invoice amount</t>
        </is>
      </c>
    </row>
    <row r="7">
      <c r="A7" t="inlineStr">
        <is>
          <t>Invoice INR Conversion (@ BoE Rate)</t>
        </is>
      </c>
      <c r="B7" t="inlineStr">
        <is>
          <t>INR 794,496.11</t>
        </is>
      </c>
      <c r="C7" t="inlineStr">
        <is>
          <t>INR 794,495.73</t>
        </is>
      </c>
      <c r="D7" t="inlineStr">
        <is>
          <t>INR 0.38</t>
        </is>
      </c>
      <c r="E7" s="67" t="inlineStr">
        <is>
          <t>PASS</t>
        </is>
      </c>
      <c r="F7" t="inlineStr">
        <is>
          <t>Deterministic rounding within tolerance INR 2.00</t>
        </is>
      </c>
    </row>
    <row r="8">
      <c r="A8" t="inlineStr">
        <is>
          <t>Invoice Value vs BoE Assessable</t>
        </is>
      </c>
      <c r="B8" t="inlineStr">
        <is>
          <t>INR 794,495.73</t>
        </is>
      </c>
      <c r="C8" t="inlineStr">
        <is>
          <t>INR 794,495.73</t>
        </is>
      </c>
      <c r="D8" t="inlineStr">
        <is>
          <t>INR 0.00</t>
        </is>
      </c>
      <c r="E8" s="67" t="inlineStr">
        <is>
          <t>PASS</t>
        </is>
      </c>
      <c r="F8" t="inlineStr">
        <is>
          <t>Preserves customs valuation vs invoice value</t>
        </is>
      </c>
    </row>
    <row r="9">
      <c r="A9" t="inlineStr">
        <is>
          <t>Basic Customs Duty (BCD) Total</t>
        </is>
      </c>
      <c r="B9" t="inlineStr">
        <is>
          <t>INR 76,462.18</t>
        </is>
      </c>
      <c r="C9" t="inlineStr">
        <is>
          <t>INR 76,462.18</t>
        </is>
      </c>
      <c r="D9" t="inlineStr">
        <is>
          <t>INR 0.00</t>
        </is>
      </c>
      <c r="E9" s="67" t="inlineStr">
        <is>
          <t>PASS</t>
        </is>
      </c>
      <c r="F9" t="inlineStr">
        <is>
          <t>Reconciles with printed BoE Part I duty</t>
        </is>
      </c>
    </row>
    <row r="10">
      <c r="A10" t="inlineStr">
        <is>
          <t>Social Welfare Surcharge (SWS) Total</t>
        </is>
      </c>
      <c r="B10" t="inlineStr">
        <is>
          <t>INR 7,646.22</t>
        </is>
      </c>
      <c r="C10" t="inlineStr">
        <is>
          <t>INR 7,646.22</t>
        </is>
      </c>
      <c r="D10" t="inlineStr">
        <is>
          <t>INR 0.00</t>
        </is>
      </c>
      <c r="E10" s="67" t="inlineStr">
        <is>
          <t>PASS</t>
        </is>
      </c>
      <c r="F10" t="inlineStr">
        <is>
          <t>Reconciles with printed BoE Part I SWS</t>
        </is>
      </c>
    </row>
    <row r="11">
      <c r="A11" t="inlineStr">
        <is>
          <t>Total Quantity Verification</t>
        </is>
      </c>
      <c r="B11" t="inlineStr">
        <is>
          <t>17 NOS</t>
        </is>
      </c>
      <c r="C11" t="inlineStr">
        <is>
          <t>17 NOS</t>
        </is>
      </c>
      <c r="D11" t="inlineStr">
        <is>
          <t>0</t>
        </is>
      </c>
      <c r="E11" s="67" t="inlineStr">
        <is>
          <t>PASS</t>
        </is>
      </c>
      <c r="F11" t="inlineStr">
        <is>
          <t>Exact item count matching shipment manifests</t>
        </is>
      </c>
    </row>
    <row r="12">
      <c r="A12" t="inlineStr">
        <is>
          <t>OCR Derived Fields Verification</t>
        </is>
      </c>
      <c r="B12" t="inlineStr">
        <is>
          <t>0 manual overrides</t>
        </is>
      </c>
      <c r="C12" t="inlineStr">
        <is>
          <t>3 items from OCR</t>
        </is>
      </c>
      <c r="D12" t="inlineStr">
        <is>
          <t>0</t>
        </is>
      </c>
      <c r="E12" s="67" t="inlineStr">
        <is>
          <t>PASS</t>
        </is>
      </c>
      <c r="F12" t="inlineStr">
        <is>
          <t>All OCR fields mathematically verified against line values</t>
        </is>
      </c>
    </row>
    <row r="13"/>
    <row r="14"/>
    <row r="15">
      <c r="A15" s="66" t="inlineStr">
        <is>
          <t>2. MODIFIED &amp; POPULATED CELLS AUDIT LOG</t>
        </is>
      </c>
    </row>
    <row r="16">
      <c r="A16" t="inlineStr"/>
    </row>
    <row r="17">
      <c r="A17" s="64" t="inlineStr">
        <is>
          <t>Worksheet</t>
        </is>
      </c>
      <c r="B17" s="64" t="inlineStr">
        <is>
          <t>Cell Range</t>
        </is>
      </c>
      <c r="C17" s="64" t="inlineStr">
        <is>
          <t>Previous Value</t>
        </is>
      </c>
      <c r="D17" s="64" t="inlineStr">
        <is>
          <t>New Value</t>
        </is>
      </c>
      <c r="E17" s="64" t="inlineStr">
        <is>
          <t>Source Document</t>
        </is>
      </c>
      <c r="F17" s="64" t="inlineStr">
        <is>
          <t>Reason</t>
        </is>
      </c>
      <c r="G17" s="64" t="inlineStr">
        <is>
          <t>OCR Flag</t>
        </is>
      </c>
    </row>
    <row r="18">
      <c r="A18" t="inlineStr">
        <is>
          <t>980007121</t>
        </is>
      </c>
      <c r="B18" t="inlineStr">
        <is>
          <t>H2:M2</t>
        </is>
      </c>
      <c r="C18" t="inlineStr">
        <is>
          <t>N/A</t>
        </is>
      </c>
      <c r="D18" t="inlineStr">
        <is>
          <t>H71-71A41-0 (Qty=1, Tot=34295.73)</t>
        </is>
      </c>
      <c r="E18" t="inlineStr">
        <is>
          <t>Commercial Invoice &amp; BoE</t>
        </is>
      </c>
      <c r="F18" t="inlineStr">
        <is>
          <t>Shipment line item import</t>
        </is>
      </c>
      <c r="G18" t="inlineStr">
        <is>
          <t>YES</t>
        </is>
      </c>
    </row>
    <row r="19">
      <c r="A19" t="inlineStr">
        <is>
          <t>980007121</t>
        </is>
      </c>
      <c r="B19" t="inlineStr">
        <is>
          <t>H3:M3</t>
        </is>
      </c>
      <c r="C19" t="inlineStr">
        <is>
          <t>N/A</t>
        </is>
      </c>
      <c r="D19" t="inlineStr">
        <is>
          <t>972-0DP10 (Qty=5, Tot=125000.00)</t>
        </is>
      </c>
      <c r="E19" t="inlineStr">
        <is>
          <t>Commercial Invoice &amp; BoE</t>
        </is>
      </c>
      <c r="F19" t="inlineStr">
        <is>
          <t>Shipment line item import</t>
        </is>
      </c>
      <c r="G19" t="inlineStr">
        <is>
          <t>NO</t>
        </is>
      </c>
    </row>
    <row r="20">
      <c r="A20" t="inlineStr">
        <is>
          <t>980011770</t>
        </is>
      </c>
      <c r="B20" t="inlineStr">
        <is>
          <t>H2:M2</t>
        </is>
      </c>
      <c r="C20" t="inlineStr">
        <is>
          <t>N/A</t>
        </is>
      </c>
      <c r="D20" t="inlineStr">
        <is>
          <t>001-1BA20 (Qty=10, Tot=550000.00)</t>
        </is>
      </c>
      <c r="E20" t="inlineStr">
        <is>
          <t>Commercial Invoice &amp; BoE</t>
        </is>
      </c>
      <c r="F20" t="inlineStr">
        <is>
          <t>Shipment line item import</t>
        </is>
      </c>
      <c r="G20" t="inlineStr">
        <is>
          <t>YES</t>
        </is>
      </c>
    </row>
    <row r="21">
      <c r="A21" t="inlineStr">
        <is>
          <t>980011770</t>
        </is>
      </c>
      <c r="B21" t="inlineStr">
        <is>
          <t>H3:M3</t>
        </is>
      </c>
      <c r="C21" t="inlineStr">
        <is>
          <t>N/A</t>
        </is>
      </c>
      <c r="D21" t="inlineStr">
        <is>
          <t>021-1BD40 (Qty=1, Tot=85200.00)</t>
        </is>
      </c>
      <c r="E21" t="inlineStr">
        <is>
          <t>Commercial Invoice &amp; BoE</t>
        </is>
      </c>
      <c r="F21" t="inlineStr">
        <is>
          <t>Shipment line item import</t>
        </is>
      </c>
      <c r="G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:language>en-US</dc:language>
  <dcterms:created xsi:type="dcterms:W3CDTF">2021-09-13T09:36:46Z</dcterms:created>
  <dcterms:modified xsi:type="dcterms:W3CDTF">2026-10-28T18:49:36Z</dcterms:modified>
  <cp:lastModifiedBy>yaswanth guduru</cp:lastModifiedBy>
  <cp:revision>0</cp:revision>
  <cp:lastPrinted>2026-03-11T05:21:38Z</cp:lastPrinted>
</cp:coreProperties>
</file>